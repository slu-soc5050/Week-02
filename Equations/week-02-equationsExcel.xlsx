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prenercg/Dropbox/Professional/Teaching/SOC 5050 - Applied Inferential Statistics/2016-Fall/Content/Week 2/Equations Examples/"/>
    </mc:Choice>
  </mc:AlternateContent>
  <bookViews>
    <workbookView xWindow="45640" yWindow="2820" windowWidth="28800" windowHeight="17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1" l="1"/>
  <c r="G2" i="1"/>
  <c r="D17" i="1"/>
  <c r="C15" i="1"/>
  <c r="B13" i="1"/>
  <c r="B12" i="1"/>
  <c r="D10" i="1"/>
  <c r="D9" i="1"/>
  <c r="D8" i="1"/>
  <c r="D7" i="1"/>
  <c r="D6" i="1"/>
  <c r="D5" i="1"/>
  <c r="D4" i="1"/>
  <c r="D3" i="1"/>
  <c r="D2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<sst xmlns="http://schemas.openxmlformats.org/spreadsheetml/2006/main" count="10" uniqueCount="10">
  <si>
    <t>x</t>
  </si>
  <si>
    <t>x-xbar</t>
  </si>
  <si>
    <t>xbar</t>
  </si>
  <si>
    <t>(x-xbar)^2</t>
  </si>
  <si>
    <t xml:space="preserve">xbar = </t>
  </si>
  <si>
    <t>n =</t>
  </si>
  <si>
    <t>TE =</t>
  </si>
  <si>
    <t>SS =</t>
  </si>
  <si>
    <t>s^2 =</t>
  </si>
  <si>
    <t>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</si>
</sst>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K30" sqref="K3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2</v>
      </c>
      <c r="C1" s="1" t="s">
        <v>1</v>
      </c>
      <c r="D1" t="s">
        <v>3</v>
      </c>
    </row>
    <row r="2" spans="1:7" x14ac:dyDescent="0.2">
      <c r="A2">
        <v>11</v>
      </c>
      <c r="B2">
        <v>48</v>
      </c>
      <c r="C2">
        <f>A2-B2</f>
        <v>-37</v>
      </c>
      <c r="D2">
        <f>C2^2</f>
        <v>1369</v>
      </c>
      <c r="F2" s="2" t="s">
        <v>8</v>
      </c>
      <c r="G2">
        <f>D17/(B13-1)</f>
        <v>490.5</v>
      </c>
    </row>
    <row r="3" spans="1:7" x14ac:dyDescent="0.2">
      <c r="A3">
        <v>31</v>
      </c>
      <c r="B3">
        <v>48</v>
      </c>
      <c r="C3">
        <f>A3-B3</f>
        <v>-17</v>
      </c>
      <c r="D3">
        <f>C3^2</f>
        <v>289</v>
      </c>
    </row>
    <row r="4" spans="1:7" x14ac:dyDescent="0.2">
      <c r="A4">
        <v>36</v>
      </c>
      <c r="B4">
        <v>48</v>
      </c>
      <c r="C4">
        <f>A4-B4</f>
        <v>-12</v>
      </c>
      <c r="D4">
        <f>C4^2</f>
        <v>144</v>
      </c>
      <c r="F4" s="2" t="s">
        <v>9</v>
      </c>
      <c r="G4">
        <f>SQRT(G2)</f>
        <v>22.147234590350102</v>
      </c>
    </row>
    <row r="5" spans="1:7" x14ac:dyDescent="0.2">
      <c r="A5">
        <v>41</v>
      </c>
      <c r="B5">
        <v>48</v>
      </c>
      <c r="C5">
        <f>A5-B5</f>
        <v>-7</v>
      </c>
      <c r="D5">
        <f>C5^2</f>
        <v>49</v>
      </c>
    </row>
    <row r="6" spans="1:7" x14ac:dyDescent="0.2">
      <c r="A6">
        <v>42</v>
      </c>
      <c r="B6">
        <v>48</v>
      </c>
      <c r="C6">
        <f>A6-B6</f>
        <v>-6</v>
      </c>
      <c r="D6">
        <f>C6^2</f>
        <v>36</v>
      </c>
    </row>
    <row r="7" spans="1:7" x14ac:dyDescent="0.2">
      <c r="A7">
        <v>52</v>
      </c>
      <c r="B7">
        <v>48</v>
      </c>
      <c r="C7">
        <f>A7-B7</f>
        <v>4</v>
      </c>
      <c r="D7">
        <f>C7^2</f>
        <v>16</v>
      </c>
    </row>
    <row r="8" spans="1:7" x14ac:dyDescent="0.2">
      <c r="A8">
        <v>65</v>
      </c>
      <c r="B8">
        <v>48</v>
      </c>
      <c r="C8">
        <f>A8-B8</f>
        <v>17</v>
      </c>
      <c r="D8">
        <f>C8^2</f>
        <v>289</v>
      </c>
    </row>
    <row r="9" spans="1:7" x14ac:dyDescent="0.2">
      <c r="A9">
        <v>72</v>
      </c>
      <c r="B9">
        <v>48</v>
      </c>
      <c r="C9">
        <f>A9-B9</f>
        <v>24</v>
      </c>
      <c r="D9">
        <f>C9^2</f>
        <v>576</v>
      </c>
    </row>
    <row r="10" spans="1:7" x14ac:dyDescent="0.2">
      <c r="A10">
        <v>82</v>
      </c>
      <c r="B10">
        <v>48</v>
      </c>
      <c r="C10">
        <f>A10-B10</f>
        <v>34</v>
      </c>
      <c r="D10">
        <f>C10^2</f>
        <v>1156</v>
      </c>
    </row>
    <row r="12" spans="1:7" x14ac:dyDescent="0.2">
      <c r="A12" s="2" t="s">
        <v>4</v>
      </c>
      <c r="B12">
        <f>AVERAGE(A2:A10)</f>
        <v>48</v>
      </c>
    </row>
    <row r="13" spans="1:7" x14ac:dyDescent="0.2">
      <c r="A13" s="2" t="s">
        <v>5</v>
      </c>
      <c r="B13">
        <f>COUNT(A2:A10)</f>
        <v>9</v>
      </c>
    </row>
    <row r="15" spans="1:7" x14ac:dyDescent="0.2">
      <c r="B15" s="2" t="s">
        <v>6</v>
      </c>
      <c r="C15">
        <f>SUM(C2:C10)</f>
        <v>0</v>
      </c>
    </row>
    <row r="17" spans="3:4" x14ac:dyDescent="0.2">
      <c r="C17" s="2" t="s">
        <v>7</v>
      </c>
      <c r="D17">
        <f>SUM(D2:D10)</f>
        <v>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Prener</dc:creator>
  <cp:lastModifiedBy>Christopher Prener</cp:lastModifiedBy>
  <dcterms:created xsi:type="dcterms:W3CDTF">2016-08-29T14:14:47Z</dcterms:created>
  <dcterms:modified xsi:type="dcterms:W3CDTF">2016-08-29T14:46:08Z</dcterms:modified>
</cp:coreProperties>
</file>