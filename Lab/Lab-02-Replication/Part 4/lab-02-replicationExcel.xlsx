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Users/prenercg/Desktop/"/>
    </mc:Choice>
  </mc:AlternateContent>
  <bookViews>
    <workbookView xWindow="45640" yWindow="2820" windowWidth="28800" windowHeight="1760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0" i="1" l="1"/>
  <c r="B10" i="1"/>
  <c r="B9" i="1"/>
  <c r="B8" i="1"/>
  <c r="B7" i="1"/>
  <c r="B6" i="1"/>
  <c r="B5" i="1"/>
  <c r="B4" i="1"/>
  <c r="B3" i="1"/>
  <c r="B2" i="1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D17" i="1"/>
  <c r="B13" i="1"/>
  <c r="G2" i="1"/>
  <c r="G4" i="1"/>
  <c r="C15" i="1"/>
  <c r="B12" i="1"/>
</calcChain>
</file>

<file path=xl/sharedStrings.xml><?xml version="1.0" encoding="utf-8"?>
<sst xmlns="http://schemas.openxmlformats.org/spreadsheetml/2006/main" count="10" uniqueCount="10">
  <si>
    <t>x</t>
  </si>
  <si>
    <t>x-xbar</t>
  </si>
  <si>
    <t>xbar</t>
  </si>
  <si>
    <t>(x-xbar)^2</t>
  </si>
  <si>
    <t xml:space="preserve">xbar = </t>
  </si>
  <si>
    <t>n =</t>
  </si>
  <si>
    <t>TE =</t>
  </si>
  <si>
    <t>SS =</t>
  </si>
  <si>
    <t>s^2 =</t>
  </si>
  <si>
    <t>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</si>
</sst>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B12" sqref="B12"/>
    </sheetView>
  </sheetViews>
  <sheetFormatPr baseColWidth="10" defaultRowHeight="16" x14ac:dyDescent="0.2"/>
  <cols>
    <col min="4" max="4" width="15" customWidth="1"/>
    <col min="7" max="7" width="14.33203125" customWidth="1"/>
  </cols>
  <sheetData>
    <row r="1" spans="1:7" x14ac:dyDescent="0.2">
      <c r="A1" s="1" t="s">
        <v>0</v>
      </c>
      <c r="B1" s="1" t="s">
        <v>2</v>
      </c>
      <c r="C1" s="1" t="s">
        <v>1</v>
      </c>
      <c r="D1" t="s">
        <v>3</v>
      </c>
    </row>
    <row r="2" spans="1:7" x14ac:dyDescent="0.2">
      <c r="A2">
        <v>587000</v>
      </c>
      <c r="B2">
        <f>$B$12</f>
        <v>666100</v>
      </c>
      <c r="C2">
        <f t="shared" ref="C2:C10" si="0">A2-B2</f>
        <v>-79100</v>
      </c>
      <c r="D2">
        <f t="shared" ref="D2:D10" si="1">C2^2</f>
        <v>6256810000</v>
      </c>
      <c r="F2" s="2" t="s">
        <v>8</v>
      </c>
      <c r="G2">
        <f>D17/(B13-1)</f>
        <v>1928470000</v>
      </c>
    </row>
    <row r="3" spans="1:7" x14ac:dyDescent="0.2">
      <c r="A3">
        <v>706600</v>
      </c>
      <c r="B3">
        <f>$B$12</f>
        <v>666100</v>
      </c>
      <c r="C3">
        <f t="shared" si="0"/>
        <v>40500</v>
      </c>
      <c r="D3">
        <f t="shared" si="1"/>
        <v>1640250000</v>
      </c>
    </row>
    <row r="4" spans="1:7" x14ac:dyDescent="0.2">
      <c r="A4">
        <v>625300</v>
      </c>
      <c r="B4">
        <f>$B$12</f>
        <v>666100</v>
      </c>
      <c r="C4">
        <f t="shared" si="0"/>
        <v>-40800</v>
      </c>
      <c r="D4">
        <f t="shared" si="1"/>
        <v>1664640000</v>
      </c>
      <c r="F4" s="2" t="s">
        <v>9</v>
      </c>
      <c r="G4">
        <f>SQRT(G2)</f>
        <v>43914.348452413593</v>
      </c>
    </row>
    <row r="5" spans="1:7" x14ac:dyDescent="0.2">
      <c r="A5">
        <v>680000</v>
      </c>
      <c r="B5">
        <f>$B$12</f>
        <v>666100</v>
      </c>
      <c r="C5">
        <f t="shared" si="0"/>
        <v>13900</v>
      </c>
      <c r="D5">
        <f t="shared" si="1"/>
        <v>193210000</v>
      </c>
    </row>
    <row r="6" spans="1:7" x14ac:dyDescent="0.2">
      <c r="A6">
        <v>634000</v>
      </c>
      <c r="B6">
        <f>$B$12</f>
        <v>666100</v>
      </c>
      <c r="C6">
        <f t="shared" si="0"/>
        <v>-32100</v>
      </c>
      <c r="D6">
        <f t="shared" si="1"/>
        <v>1030410000</v>
      </c>
    </row>
    <row r="7" spans="1:7" x14ac:dyDescent="0.2">
      <c r="A7">
        <v>700000</v>
      </c>
      <c r="B7">
        <f>$B$12</f>
        <v>666100</v>
      </c>
      <c r="C7">
        <f t="shared" si="0"/>
        <v>33900</v>
      </c>
      <c r="D7">
        <f t="shared" si="1"/>
        <v>1149210000</v>
      </c>
    </row>
    <row r="8" spans="1:7" x14ac:dyDescent="0.2">
      <c r="A8">
        <v>722000</v>
      </c>
      <c r="B8">
        <f>$B$12</f>
        <v>666100</v>
      </c>
      <c r="C8">
        <f t="shared" si="0"/>
        <v>55900</v>
      </c>
      <c r="D8">
        <f t="shared" si="1"/>
        <v>3124810000</v>
      </c>
    </row>
    <row r="9" spans="1:7" x14ac:dyDescent="0.2">
      <c r="A9">
        <v>657000</v>
      </c>
      <c r="B9">
        <f>$B$12</f>
        <v>666100</v>
      </c>
      <c r="C9">
        <f t="shared" si="0"/>
        <v>-9100</v>
      </c>
      <c r="D9">
        <f t="shared" si="1"/>
        <v>82810000</v>
      </c>
    </row>
    <row r="10" spans="1:7" x14ac:dyDescent="0.2">
      <c r="A10">
        <v>683000</v>
      </c>
      <c r="B10">
        <f>$B$12</f>
        <v>666100</v>
      </c>
      <c r="C10">
        <f t="shared" si="0"/>
        <v>16900</v>
      </c>
      <c r="D10">
        <f t="shared" si="1"/>
        <v>285610000</v>
      </c>
    </row>
    <row r="12" spans="1:7" x14ac:dyDescent="0.2">
      <c r="A12" s="2" t="s">
        <v>4</v>
      </c>
      <c r="B12">
        <f>AVERAGE(A2:A10)</f>
        <v>666100</v>
      </c>
    </row>
    <row r="13" spans="1:7" x14ac:dyDescent="0.2">
      <c r="A13" s="2" t="s">
        <v>5</v>
      </c>
      <c r="B13">
        <f>COUNT(A2:A10)</f>
        <v>9</v>
      </c>
    </row>
    <row r="15" spans="1:7" x14ac:dyDescent="0.2">
      <c r="B15" s="2" t="s">
        <v>6</v>
      </c>
      <c r="C15">
        <f>SUM(C2:C10)</f>
        <v>0</v>
      </c>
    </row>
    <row r="17" spans="1:4" x14ac:dyDescent="0.2">
      <c r="C17" s="2" t="s">
        <v>7</v>
      </c>
      <c r="D17">
        <f>SUM(D2:D10)</f>
        <v>15427760000</v>
      </c>
    </row>
    <row r="20" spans="1:4" x14ac:dyDescent="0.2">
      <c r="A20">
        <f>SUM(A2:A10)</f>
        <v>5994900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Prener</dc:creator>
  <cp:lastModifiedBy>Christopher Prener</cp:lastModifiedBy>
  <dcterms:created xsi:type="dcterms:W3CDTF">2016-08-29T14:14:47Z</dcterms:created>
  <dcterms:modified xsi:type="dcterms:W3CDTF">2016-08-30T20:24:48Z</dcterms:modified>
</cp:coreProperties>
</file>